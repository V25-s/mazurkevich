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jmazurkevic/Downloads/"/>
    </mc:Choice>
  </mc:AlternateContent>
  <xr:revisionPtr revIDLastSave="0" documentId="13_ncr:1_{A4E7F3D1-BDFE-3C4A-82ED-C23251C9DC65}" xr6:coauthVersionLast="47" xr6:coauthVersionMax="47" xr10:uidLastSave="{00000000-0000-0000-0000-000000000000}"/>
  <bookViews>
    <workbookView xWindow="0" yWindow="500" windowWidth="20920" windowHeight="17500" xr2:uid="{7181D72F-962B-EB4A-81B1-96DAACF6D693}"/>
  </bookViews>
  <sheets>
    <sheet name="Лист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</calcChain>
</file>

<file path=xl/sharedStrings.xml><?xml version="1.0" encoding="utf-8"?>
<sst xmlns="http://schemas.openxmlformats.org/spreadsheetml/2006/main" count="36" uniqueCount="35">
  <si>
    <t>Республика Карелия</t>
  </si>
  <si>
    <t>Республика Коми</t>
  </si>
  <si>
    <t>Мурманская область</t>
  </si>
  <si>
    <t>Пермский край</t>
  </si>
  <si>
    <t>Тюменская область</t>
  </si>
  <si>
    <t>Республика Алтай</t>
  </si>
  <si>
    <t>Республика Тыва</t>
  </si>
  <si>
    <t>Красноярский край</t>
  </si>
  <si>
    <t>Иркутская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</si>
  <si>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</si>
  <si>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</si>
  <si>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</si>
  <si>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</si>
  <si>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</si>
  <si>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</si>
  <si>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</si>
  <si>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</si>
  <si>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</si>
  <si>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</si>
  <si>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Чукотский автономный округ</t>
  </si>
  <si>
    <t>СЗФО</t>
  </si>
  <si>
    <t>Ненецкий автономный округ</t>
  </si>
  <si>
    <t xml:space="preserve">Архангельская область </t>
  </si>
  <si>
    <t>Ямало-Ненецкий автономный округ</t>
  </si>
  <si>
    <t>Ханты-Мансийский автономный округ-Югра</t>
  </si>
  <si>
    <t>УРФО</t>
  </si>
  <si>
    <t>регион</t>
  </si>
  <si>
    <t>округ</t>
  </si>
  <si>
    <t>2017 г.</t>
  </si>
  <si>
    <t>2018 г.</t>
  </si>
  <si>
    <t>2019 г.</t>
  </si>
  <si>
    <t>2020 г.</t>
  </si>
  <si>
    <t>2021 г.</t>
  </si>
  <si>
    <t>2022 г.</t>
  </si>
  <si>
    <t>2023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</si>
</sst>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2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2" xfId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164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4" fontId="4" fillId="0" borderId="8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 shrinkToFit="1"/>
    </xf>
  </cellXfs>
  <cellStyles count="2">
    <cellStyle name="Обычный" xfId="0" builtinId="0"/>
    <cellStyle name="Обычный 2" xfId="1" xr:uid="{A3809F95-CD2C-CC42-8AC6-22FB137741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drejmazurkevic/Downloads/&#1074;&#1099;&#1073;&#1099;&#1083;&#1086;.xlsx" TargetMode="External"/><Relationship Id="rId1" Type="http://schemas.openxmlformats.org/officeDocument/2006/relationships/externalLinkPath" Target="&#1074;&#1099;&#1073;&#1099;&#1083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тчет"/>
      <sheetName val="Установленные разрезы"/>
    </sheetNames>
    <sheetDataSet>
      <sheetData sheetId="0">
        <row r="1">
          <cell r="A1" t="str">
            <v>регион</v>
          </cell>
          <cell r="B1" t="str">
            <v>округ</v>
          </cell>
          <cell r="C1" t="str">
            <v>2017 г.</v>
          </cell>
          <cell r="D1" t="str">
            <v>2018 г.</v>
          </cell>
          <cell r="E1" t="str">
            <v>2019 г.</v>
          </cell>
          <cell r="F1" t="str">
            <v>2020 г.</v>
          </cell>
          <cell r="G1" t="str">
            <v>2021 г.</v>
          </cell>
          <cell r="H1" t="str">
            <v>2022 г.</v>
          </cell>
          <cell r="I1" t="str">
            <v>2023 г.</v>
          </cell>
        </row>
        <row r="2">
          <cell r="A2" t="str">
            <v>Республика Карелия</v>
          </cell>
          <cell r="B2" t="str">
            <v>СЗФО</v>
          </cell>
          <cell r="C2">
            <v>23332</v>
          </cell>
          <cell r="D2">
            <v>23331</v>
          </cell>
          <cell r="E2">
            <v>20852</v>
          </cell>
          <cell r="F2">
            <v>16752</v>
          </cell>
          <cell r="G2">
            <v>18258</v>
          </cell>
          <cell r="H2">
            <v>15829</v>
          </cell>
          <cell r="I2">
            <v>14479</v>
          </cell>
        </row>
        <row r="3">
          <cell r="A3" t="str">
            <v>Республика Коми</v>
          </cell>
          <cell r="B3" t="str">
            <v>СЗФО</v>
          </cell>
          <cell r="C3">
            <v>41304</v>
          </cell>
          <cell r="D3">
            <v>40484</v>
          </cell>
          <cell r="E3">
            <v>34840</v>
          </cell>
          <cell r="F3">
            <v>29718</v>
          </cell>
          <cell r="G3">
            <v>30463</v>
          </cell>
          <cell r="H3">
            <v>28124</v>
          </cell>
          <cell r="I3">
            <v>26360</v>
          </cell>
        </row>
        <row r="4">
          <cell r="A4" t="str">
            <v>Ненецкий автономный округ</v>
          </cell>
          <cell r="B4" t="str">
            <v>СЗФО</v>
          </cell>
          <cell r="C4">
            <v>2384</v>
          </cell>
          <cell r="D4">
            <v>2566</v>
          </cell>
          <cell r="E4">
            <v>2269</v>
          </cell>
          <cell r="F4">
            <v>1860</v>
          </cell>
          <cell r="G4">
            <v>1892</v>
          </cell>
          <cell r="H4">
            <v>1890</v>
          </cell>
          <cell r="I4">
            <v>1797</v>
          </cell>
        </row>
        <row r="5">
          <cell r="A5" t="str">
            <v xml:space="preserve">Архангельская область </v>
          </cell>
          <cell r="B5" t="str">
            <v>СЗФО</v>
          </cell>
          <cell r="C5">
            <v>45635</v>
          </cell>
          <cell r="D5">
            <v>46677</v>
          </cell>
          <cell r="E5">
            <v>41981</v>
          </cell>
          <cell r="F5">
            <v>33740</v>
          </cell>
          <cell r="G5">
            <v>35935</v>
          </cell>
          <cell r="H5">
            <v>34519</v>
          </cell>
          <cell r="I5">
            <v>34818</v>
          </cell>
        </row>
        <row r="6">
          <cell r="A6" t="str">
            <v>Мурманская область</v>
          </cell>
          <cell r="B6" t="str">
            <v>СЗФО</v>
          </cell>
          <cell r="C6">
            <v>40052</v>
          </cell>
          <cell r="D6">
            <v>39866</v>
          </cell>
          <cell r="E6">
            <v>37272</v>
          </cell>
          <cell r="F6">
            <v>30714</v>
          </cell>
          <cell r="G6">
            <v>29747</v>
          </cell>
          <cell r="H6">
            <v>28305</v>
          </cell>
          <cell r="I6">
            <v>26438</v>
          </cell>
        </row>
        <row r="7">
          <cell r="A7" t="str">
            <v>Пермский край</v>
          </cell>
          <cell r="B7" t="str">
            <v>ПФО</v>
          </cell>
          <cell r="C7">
            <v>1542</v>
          </cell>
          <cell r="D7">
            <v>1509</v>
          </cell>
          <cell r="E7">
            <v>1381</v>
          </cell>
          <cell r="F7">
            <v>1290</v>
          </cell>
          <cell r="G7">
            <v>1548</v>
          </cell>
          <cell r="H7">
            <v>1349</v>
          </cell>
          <cell r="I7">
            <v>1296</v>
          </cell>
        </row>
        <row r="8">
          <cell r="A8" t="str">
            <v>Ханты-Мансийский автономный округ - Югра</v>
          </cell>
          <cell r="B8" t="str">
            <v>УРФО</v>
          </cell>
          <cell r="C8">
            <v>75163</v>
          </cell>
          <cell r="D8">
            <v>72549</v>
          </cell>
          <cell r="E8">
            <v>66541</v>
          </cell>
          <cell r="F8">
            <v>56960</v>
          </cell>
        </row>
        <row r="9">
          <cell r="A9" t="str">
            <v>Ямало-Ненецкий автономный округ</v>
          </cell>
          <cell r="B9" t="str">
            <v>УРФО</v>
          </cell>
          <cell r="C9">
            <v>34599</v>
          </cell>
          <cell r="D9">
            <v>34211</v>
          </cell>
          <cell r="E9">
            <v>30456</v>
          </cell>
          <cell r="F9">
            <v>25080</v>
          </cell>
          <cell r="G9">
            <v>26031</v>
          </cell>
          <cell r="H9">
            <v>24804</v>
          </cell>
          <cell r="I9">
            <v>22679</v>
          </cell>
        </row>
        <row r="10">
          <cell r="A10" t="str">
            <v>Тюменская область</v>
          </cell>
          <cell r="B10" t="str">
            <v>УРФО</v>
          </cell>
          <cell r="C10">
            <v>502</v>
          </cell>
          <cell r="D10">
            <v>553</v>
          </cell>
          <cell r="E10">
            <v>568</v>
          </cell>
          <cell r="F10">
            <v>605</v>
          </cell>
          <cell r="G10">
            <v>594</v>
          </cell>
          <cell r="H10">
            <v>650</v>
          </cell>
          <cell r="I10">
            <v>527</v>
          </cell>
        </row>
        <row r="11">
          <cell r="A11" t="str">
            <v>Республика Алтай</v>
          </cell>
          <cell r="B11" t="str">
            <v>СФО</v>
          </cell>
          <cell r="C11">
            <v>2475</v>
          </cell>
          <cell r="D11">
            <v>2243</v>
          </cell>
          <cell r="E11">
            <v>2156</v>
          </cell>
          <cell r="F11">
            <v>1796</v>
          </cell>
          <cell r="G11">
            <v>2006</v>
          </cell>
          <cell r="H11">
            <v>2034</v>
          </cell>
          <cell r="I11">
            <v>1979</v>
          </cell>
        </row>
        <row r="12">
          <cell r="A12" t="str">
            <v>Республика Тыва</v>
          </cell>
          <cell r="B12" t="str">
            <v>СФО</v>
          </cell>
          <cell r="C12">
            <v>13123</v>
          </cell>
          <cell r="D12">
            <v>13406</v>
          </cell>
          <cell r="E12">
            <v>11466</v>
          </cell>
          <cell r="F12">
            <v>9931</v>
          </cell>
          <cell r="G12">
            <v>11887</v>
          </cell>
          <cell r="H12">
            <v>13196</v>
          </cell>
          <cell r="I12">
            <v>12097</v>
          </cell>
        </row>
        <row r="13">
          <cell r="A13" t="str">
            <v>Красноярский край</v>
          </cell>
          <cell r="B13" t="str">
            <v>СФО</v>
          </cell>
          <cell r="C13">
            <v>25860</v>
          </cell>
          <cell r="D13">
            <v>25585</v>
          </cell>
          <cell r="E13">
            <v>22886</v>
          </cell>
          <cell r="F13">
            <v>21664</v>
          </cell>
          <cell r="G13">
            <v>23108</v>
          </cell>
          <cell r="H13">
            <v>22363</v>
          </cell>
          <cell r="I13">
            <v>22590</v>
          </cell>
        </row>
        <row r="14">
          <cell r="A14" t="str">
            <v>Иркутская область</v>
          </cell>
          <cell r="B14" t="str">
            <v>СФО</v>
          </cell>
          <cell r="C14">
            <v>16583</v>
          </cell>
          <cell r="D14">
            <v>16187</v>
          </cell>
          <cell r="E14">
            <v>13203</v>
          </cell>
          <cell r="F14">
            <v>11344</v>
          </cell>
          <cell r="G14">
            <v>11491</v>
          </cell>
          <cell r="H14">
            <v>11147</v>
          </cell>
          <cell r="I14">
            <v>10642</v>
          </cell>
        </row>
        <row r="15">
          <cell r="A15" t="str">
            <v>Томская область</v>
          </cell>
          <cell r="B15" t="str">
            <v>СФО</v>
          </cell>
          <cell r="C15">
            <v>8576</v>
          </cell>
          <cell r="D15">
            <v>8332</v>
          </cell>
          <cell r="E15">
            <v>6888</v>
          </cell>
          <cell r="F15">
            <v>5441</v>
          </cell>
          <cell r="G15">
            <v>5433</v>
          </cell>
          <cell r="H15">
            <v>4782</v>
          </cell>
          <cell r="I15">
            <v>4137</v>
          </cell>
        </row>
        <row r="16">
          <cell r="A16" t="str">
            <v>Республика Бурятия</v>
          </cell>
          <cell r="B16" t="str">
            <v>ДВФО</v>
          </cell>
          <cell r="C16">
            <v>5355</v>
          </cell>
          <cell r="D16">
            <v>4896</v>
          </cell>
          <cell r="E16">
            <v>4522</v>
          </cell>
          <cell r="F16">
            <v>3856</v>
          </cell>
          <cell r="G16">
            <v>3912</v>
          </cell>
          <cell r="H16">
            <v>3711</v>
          </cell>
          <cell r="I16">
            <v>3642</v>
          </cell>
        </row>
        <row r="17">
          <cell r="A17" t="str">
            <v>Забайкальский край</v>
          </cell>
          <cell r="B17" t="str">
            <v>ДВФО</v>
          </cell>
          <cell r="C17">
            <v>913</v>
          </cell>
          <cell r="D17">
            <v>1021</v>
          </cell>
          <cell r="E17">
            <v>925</v>
          </cell>
          <cell r="F17">
            <v>706</v>
          </cell>
          <cell r="G17">
            <v>605</v>
          </cell>
          <cell r="H17">
            <v>548</v>
          </cell>
          <cell r="I17">
            <v>507</v>
          </cell>
        </row>
        <row r="18">
          <cell r="A18" t="str">
            <v>Республика Саха (Якутия)</v>
          </cell>
          <cell r="B18" t="str">
            <v>ДВФО</v>
          </cell>
          <cell r="C18">
            <v>44650</v>
          </cell>
          <cell r="D18">
            <v>44404</v>
          </cell>
          <cell r="E18">
            <v>40311</v>
          </cell>
          <cell r="F18">
            <v>35810</v>
          </cell>
          <cell r="G18">
            <v>42801</v>
          </cell>
          <cell r="H18">
            <v>40773</v>
          </cell>
          <cell r="I18">
            <v>39129</v>
          </cell>
        </row>
        <row r="19">
          <cell r="A19" t="str">
            <v>Камчатский край</v>
          </cell>
          <cell r="B19" t="str">
            <v>ДВФО</v>
          </cell>
          <cell r="C19">
            <v>11456</v>
          </cell>
          <cell r="D19">
            <v>12211</v>
          </cell>
          <cell r="E19">
            <v>11345</v>
          </cell>
          <cell r="F19">
            <v>10398</v>
          </cell>
          <cell r="G19">
            <v>10638</v>
          </cell>
          <cell r="H19">
            <v>10106</v>
          </cell>
          <cell r="I19">
            <v>9504</v>
          </cell>
        </row>
        <row r="20">
          <cell r="A20" t="str">
            <v>Приморский край</v>
          </cell>
          <cell r="B20" t="str">
            <v>ДВФО</v>
          </cell>
          <cell r="C20">
            <v>5009</v>
          </cell>
          <cell r="D20">
            <v>4940</v>
          </cell>
          <cell r="E20">
            <v>4550</v>
          </cell>
          <cell r="F20">
            <v>3483</v>
          </cell>
          <cell r="G20">
            <v>3882</v>
          </cell>
          <cell r="H20">
            <v>3665</v>
          </cell>
          <cell r="I20">
            <v>3464</v>
          </cell>
        </row>
        <row r="21">
          <cell r="A21" t="str">
            <v>Хабаровский край</v>
          </cell>
          <cell r="B21" t="str">
            <v>ДВФО</v>
          </cell>
          <cell r="C21">
            <v>17284</v>
          </cell>
          <cell r="D21">
            <v>17148</v>
          </cell>
          <cell r="E21">
            <v>16175</v>
          </cell>
          <cell r="F21">
            <v>13206</v>
          </cell>
          <cell r="G21">
            <v>15874</v>
          </cell>
          <cell r="H21">
            <v>15111</v>
          </cell>
          <cell r="I21">
            <v>14599</v>
          </cell>
        </row>
        <row r="22">
          <cell r="A22" t="str">
            <v>Амурская область</v>
          </cell>
          <cell r="B22" t="str">
            <v>ДВФО</v>
          </cell>
          <cell r="C22">
            <v>5284</v>
          </cell>
          <cell r="D22">
            <v>5417</v>
          </cell>
          <cell r="E22">
            <v>3762</v>
          </cell>
          <cell r="F22">
            <v>3162</v>
          </cell>
          <cell r="G22">
            <v>2868</v>
          </cell>
          <cell r="H22">
            <v>2997</v>
          </cell>
          <cell r="I22">
            <v>2346</v>
          </cell>
        </row>
        <row r="23">
          <cell r="A23" t="str">
            <v>Магаданская область</v>
          </cell>
          <cell r="B23" t="str">
            <v>ДВФО</v>
          </cell>
          <cell r="C23">
            <v>8401</v>
          </cell>
          <cell r="D23">
            <v>8707</v>
          </cell>
          <cell r="E23">
            <v>7757</v>
          </cell>
          <cell r="F23">
            <v>6496</v>
          </cell>
          <cell r="G23">
            <v>6649</v>
          </cell>
          <cell r="H23">
            <v>6250</v>
          </cell>
          <cell r="I23">
            <v>5742</v>
          </cell>
        </row>
        <row r="24">
          <cell r="A24" t="str">
            <v>Сахалинская область</v>
          </cell>
          <cell r="B24" t="str">
            <v>ДВФО</v>
          </cell>
          <cell r="C24">
            <v>20790</v>
          </cell>
          <cell r="D24">
            <v>20769</v>
          </cell>
          <cell r="E24">
            <v>17439</v>
          </cell>
          <cell r="F24">
            <v>15661</v>
          </cell>
          <cell r="G24">
            <v>14852</v>
          </cell>
          <cell r="H24">
            <v>13840</v>
          </cell>
          <cell r="I24">
            <v>13461</v>
          </cell>
        </row>
        <row r="25">
          <cell r="A25" t="str">
            <v>Чукотский автономный округ</v>
          </cell>
          <cell r="B25" t="str">
            <v>ДВФО</v>
          </cell>
          <cell r="C25">
            <v>4943</v>
          </cell>
          <cell r="D25">
            <v>5089</v>
          </cell>
          <cell r="E25">
            <v>5326</v>
          </cell>
          <cell r="F25">
            <v>4975</v>
          </cell>
          <cell r="G25">
            <v>4576</v>
          </cell>
          <cell r="H25">
            <v>4702</v>
          </cell>
          <cell r="I25">
            <v>4453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9102-0305-A94C-BD81-99E1A7935612}">
  <dimension ref="A1:I25"/>
  <sheetViews>
    <sheetView tabSelected="1" topLeftCell="C1" workbookViewId="0">
      <selection activeCell="C1" sqref="C1:I1"/>
    </sheetView>
  </sheetViews>
  <sheetFormatPr baseColWidth="10" defaultRowHeight="16" x14ac:dyDescent="0.2"/>
  <cols>
    <col min="1" max="1" width="34.1640625" customWidth="1"/>
    <col min="2" max="2" width="13.83203125" customWidth="1"/>
    <col min="3" max="3" width="34" customWidth="1"/>
    <col min="4" max="4" width="30.5" customWidth="1"/>
    <col min="5" max="5" width="29.1640625" customWidth="1"/>
    <col min="6" max="6" width="23.83203125" customWidth="1"/>
    <col min="7" max="8" width="21.33203125" customWidth="1"/>
    <col min="9" max="9" width="24" customWidth="1"/>
  </cols>
  <sheetData>
    <row r="1" spans="1:9" x14ac:dyDescent="0.2">
      <c r="A1" s="1" t="s">
        <v>26</v>
      </c>
      <c r="B1" s="1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</row>
    <row r="2" spans="1:9" ht="17" x14ac:dyDescent="0.2">
      <c r="A2" s="5" t="s">
        <v>0</v>
      </c>
      <c r="B2" s="10" t="str">
        <f>VLOOKUP(A2,[1]Отчет!$A:$I,2,FALSE)</f>
        <v>СЗФО</v>
      </c>
      <c r="C2" s="2">
        <v>270802.5</v>
      </c>
      <c r="D2" s="2">
        <v>300977.09999999998</v>
      </c>
      <c r="E2" s="2">
        <v>319050</v>
      </c>
      <c r="F2" s="2">
        <v>322803.59999999998</v>
      </c>
      <c r="G2" s="2">
        <v>447564.1</v>
      </c>
      <c r="H2" s="2">
        <v>392693.2</v>
      </c>
      <c r="I2" s="3">
        <v>434291.1</v>
      </c>
    </row>
    <row r="3" spans="1:9" ht="17" x14ac:dyDescent="0.2">
      <c r="A3" s="5" t="s">
        <v>1</v>
      </c>
      <c r="B3" s="10" t="str">
        <f>VLOOKUP(A3,[1]Отчет!$A:$I,2,FALSE)</f>
        <v>СЗФО</v>
      </c>
      <c r="C3" s="2">
        <v>608574.5</v>
      </c>
      <c r="D3" s="2">
        <v>696242.2</v>
      </c>
      <c r="E3" s="2">
        <v>718138.7</v>
      </c>
      <c r="F3" s="2">
        <v>613266.9</v>
      </c>
      <c r="G3" s="2">
        <v>869995.8</v>
      </c>
      <c r="H3" s="2">
        <v>971635</v>
      </c>
      <c r="I3" s="3">
        <v>1049365.5</v>
      </c>
    </row>
    <row r="4" spans="1:9" ht="17" x14ac:dyDescent="0.2">
      <c r="A4" s="11" t="s">
        <v>21</v>
      </c>
      <c r="B4" s="10" t="s">
        <v>20</v>
      </c>
      <c r="C4" s="2">
        <v>265790.90000000002</v>
      </c>
      <c r="D4" s="2">
        <v>320405.7</v>
      </c>
      <c r="E4" s="2">
        <v>330999</v>
      </c>
      <c r="F4" s="2">
        <v>230674.3</v>
      </c>
      <c r="G4" s="2">
        <v>409388.3</v>
      </c>
      <c r="H4" s="2">
        <v>489207.2</v>
      </c>
      <c r="I4" s="3">
        <v>501455.5</v>
      </c>
    </row>
    <row r="5" spans="1:9" ht="17" x14ac:dyDescent="0.2">
      <c r="A5" s="11" t="s">
        <v>22</v>
      </c>
      <c r="B5" s="10" t="s">
        <v>20</v>
      </c>
      <c r="C5" s="2">
        <v>493415.6</v>
      </c>
      <c r="D5" s="2">
        <v>545317.6</v>
      </c>
      <c r="E5" s="2">
        <v>558975.4</v>
      </c>
      <c r="F5" s="2">
        <v>551144.69999999995</v>
      </c>
      <c r="G5" s="2">
        <v>671106.7</v>
      </c>
      <c r="H5" s="2">
        <v>700287.8</v>
      </c>
      <c r="I5" s="3">
        <v>761589.6</v>
      </c>
    </row>
    <row r="6" spans="1:9" ht="17" x14ac:dyDescent="0.2">
      <c r="A6" s="5" t="s">
        <v>2</v>
      </c>
      <c r="B6" s="10" t="str">
        <f>VLOOKUP(A6,[1]Отчет!$A:$I,2,FALSE)</f>
        <v>СЗФО</v>
      </c>
      <c r="C6" s="2">
        <v>479352.8</v>
      </c>
      <c r="D6" s="2">
        <v>521051.5</v>
      </c>
      <c r="E6" s="2">
        <v>616504.1</v>
      </c>
      <c r="F6" s="2">
        <v>798450.1</v>
      </c>
      <c r="G6" s="2">
        <v>1106607.7</v>
      </c>
      <c r="H6" s="2">
        <v>1152107.7</v>
      </c>
      <c r="I6" s="3">
        <v>1127497.3</v>
      </c>
    </row>
    <row r="7" spans="1:9" ht="17" x14ac:dyDescent="0.2">
      <c r="A7" s="5" t="s">
        <v>3</v>
      </c>
      <c r="B7" s="10" t="str">
        <f>VLOOKUP(A7,[1]Отчет!$A:$I,2,FALSE)</f>
        <v>ПФО</v>
      </c>
      <c r="C7" s="2">
        <v>1245826.8999999999</v>
      </c>
      <c r="D7" s="2">
        <v>1422704.6</v>
      </c>
      <c r="E7" s="2">
        <v>1496401.4</v>
      </c>
      <c r="F7" s="2">
        <v>1385352.5</v>
      </c>
      <c r="G7" s="2">
        <v>1765366.6</v>
      </c>
      <c r="H7" s="2">
        <v>1997004.2</v>
      </c>
      <c r="I7" s="3">
        <v>2197280.1</v>
      </c>
    </row>
    <row r="8" spans="1:9" ht="34" x14ac:dyDescent="0.2">
      <c r="A8" s="5" t="s">
        <v>24</v>
      </c>
      <c r="B8" s="10" t="s">
        <v>25</v>
      </c>
      <c r="C8" s="2">
        <v>3557367.1</v>
      </c>
      <c r="D8" s="2">
        <v>4506739.7</v>
      </c>
      <c r="E8" s="2">
        <v>4558879.8</v>
      </c>
      <c r="F8" s="2">
        <v>3341832</v>
      </c>
      <c r="G8" s="2">
        <v>5700228.2999999998</v>
      </c>
      <c r="H8" s="2">
        <v>6880235.2999999998</v>
      </c>
      <c r="I8" s="3">
        <v>8628903.5</v>
      </c>
    </row>
    <row r="9" spans="1:9" ht="17" x14ac:dyDescent="0.2">
      <c r="A9" s="5" t="s">
        <v>23</v>
      </c>
      <c r="B9" s="10" t="str">
        <f>VLOOKUP(A9,[1]Отчет!$A:$I,2,FALSE)</f>
        <v>УРФО</v>
      </c>
      <c r="C9" s="2">
        <v>2456293.7000000002</v>
      </c>
      <c r="D9" s="2">
        <v>3051613.1</v>
      </c>
      <c r="E9" s="2">
        <v>3158827.6</v>
      </c>
      <c r="F9" s="2">
        <v>2767734.5</v>
      </c>
      <c r="G9" s="2">
        <v>4219244.5999999996</v>
      </c>
      <c r="H9" s="2">
        <v>5305603.5999999996</v>
      </c>
      <c r="I9" s="3">
        <v>5379401.7999999998</v>
      </c>
    </row>
    <row r="10" spans="1:9" x14ac:dyDescent="0.2">
      <c r="A10" s="8" t="s">
        <v>4</v>
      </c>
      <c r="B10" s="10" t="str">
        <f>VLOOKUP(A10,[1]Отчет!$A:$I,2,FALSE)</f>
        <v>УРФО</v>
      </c>
      <c r="C10" s="2">
        <v>1083409.3999999999</v>
      </c>
      <c r="D10" s="2">
        <v>1316650.8999999999</v>
      </c>
      <c r="E10" s="2">
        <v>1234753.1000000001</v>
      </c>
      <c r="F10" s="2">
        <v>1171029.2</v>
      </c>
      <c r="G10" s="2">
        <v>1573449.4</v>
      </c>
      <c r="H10" s="2">
        <v>1722910.2</v>
      </c>
      <c r="I10" s="3">
        <v>1938291.9</v>
      </c>
    </row>
    <row r="11" spans="1:9" ht="17" x14ac:dyDescent="0.2">
      <c r="A11" s="8" t="s">
        <v>5</v>
      </c>
      <c r="B11" s="10" t="str">
        <f>VLOOKUP(A11,[1]Отчет!$A:$I,2,FALSE)</f>
        <v>СФО</v>
      </c>
      <c r="C11" s="2">
        <v>48415.199999999997</v>
      </c>
      <c r="D11" s="2">
        <v>54069.4</v>
      </c>
      <c r="E11" s="2">
        <v>57064</v>
      </c>
      <c r="F11" s="2">
        <v>62850.8</v>
      </c>
      <c r="G11" s="2">
        <v>74513.399999999994</v>
      </c>
      <c r="H11" s="2">
        <v>89613.1</v>
      </c>
      <c r="I11" s="3">
        <v>108336.5</v>
      </c>
    </row>
    <row r="12" spans="1:9" ht="17" x14ac:dyDescent="0.2">
      <c r="A12" s="8" t="s">
        <v>6</v>
      </c>
      <c r="B12" s="10" t="str">
        <f>VLOOKUP(A12,[1]Отчет!$A:$I,2,FALSE)</f>
        <v>СФО</v>
      </c>
      <c r="C12" s="2">
        <v>65038.9</v>
      </c>
      <c r="D12" s="2">
        <v>73681.600000000006</v>
      </c>
      <c r="E12" s="2">
        <v>79321.3</v>
      </c>
      <c r="F12" s="2">
        <v>82230.8</v>
      </c>
      <c r="G12" s="2">
        <v>91529.3</v>
      </c>
      <c r="H12" s="2">
        <v>107913.7</v>
      </c>
      <c r="I12" s="3">
        <v>122532.5</v>
      </c>
    </row>
    <row r="13" spans="1:9" ht="17" x14ac:dyDescent="0.2">
      <c r="A13" s="8" t="s">
        <v>7</v>
      </c>
      <c r="B13" s="10" t="str">
        <f>VLOOKUP(A13,[1]Отчет!$A:$I,2,FALSE)</f>
        <v>СФО</v>
      </c>
      <c r="C13" s="2">
        <v>1977016.1</v>
      </c>
      <c r="D13" s="2">
        <v>2374749.9</v>
      </c>
      <c r="E13" s="2">
        <v>2696158.9</v>
      </c>
      <c r="F13" s="2">
        <v>2725096.7</v>
      </c>
      <c r="G13" s="2">
        <v>3122115.3</v>
      </c>
      <c r="H13" s="2">
        <v>3314866.6</v>
      </c>
      <c r="I13" s="3">
        <v>3719646.8</v>
      </c>
    </row>
    <row r="14" spans="1:9" ht="17" x14ac:dyDescent="0.2">
      <c r="A14" s="8" t="s">
        <v>8</v>
      </c>
      <c r="B14" s="10" t="str">
        <f>VLOOKUP(A14,[1]Отчет!$A:$I,2,FALSE)</f>
        <v>СФО</v>
      </c>
      <c r="C14" s="2">
        <v>1268311.7</v>
      </c>
      <c r="D14" s="2">
        <v>1460512.2</v>
      </c>
      <c r="E14" s="2">
        <v>1540237.8</v>
      </c>
      <c r="F14" s="2">
        <v>1494326.6</v>
      </c>
      <c r="G14" s="2">
        <v>1972480.5</v>
      </c>
      <c r="H14" s="2">
        <v>2347579.7999999998</v>
      </c>
      <c r="I14" s="3">
        <v>2539383.9</v>
      </c>
    </row>
    <row r="15" spans="1:9" ht="17" x14ac:dyDescent="0.2">
      <c r="A15" s="8" t="s">
        <v>9</v>
      </c>
      <c r="B15" s="10" t="str">
        <f>VLOOKUP(A15,[1]Отчет!$A:$I,2,FALSE)</f>
        <v>СФО</v>
      </c>
      <c r="C15" s="6">
        <v>554393.9</v>
      </c>
      <c r="D15" s="6">
        <v>612431.69999999995</v>
      </c>
      <c r="E15" s="2">
        <v>617903.6</v>
      </c>
      <c r="F15" s="6">
        <v>553211.6</v>
      </c>
      <c r="G15" s="6">
        <v>723226.5</v>
      </c>
      <c r="H15" s="6">
        <v>813183.4</v>
      </c>
      <c r="I15" s="3">
        <v>912449.4</v>
      </c>
    </row>
    <row r="16" spans="1:9" ht="17" x14ac:dyDescent="0.2">
      <c r="A16" s="8" t="s">
        <v>10</v>
      </c>
      <c r="B16" s="10" t="str">
        <f>VLOOKUP(A16,[1]Отчет!$A:$I,2,FALSE)</f>
        <v>ДВФО</v>
      </c>
      <c r="C16" s="7">
        <v>224594.1</v>
      </c>
      <c r="D16" s="7">
        <v>258578.6</v>
      </c>
      <c r="E16" s="2">
        <v>285490.59999999998</v>
      </c>
      <c r="F16" s="7">
        <v>302800.40000000002</v>
      </c>
      <c r="G16" s="7">
        <v>356150.2</v>
      </c>
      <c r="H16" s="7">
        <v>447267.3</v>
      </c>
      <c r="I16" s="3">
        <v>503918.8</v>
      </c>
    </row>
    <row r="17" spans="1:9" ht="17" x14ac:dyDescent="0.2">
      <c r="A17" s="8" t="s">
        <v>11</v>
      </c>
      <c r="B17" s="10" t="str">
        <f>VLOOKUP(A17,[1]Отчет!$A:$I,2,FALSE)</f>
        <v>ДВФО</v>
      </c>
      <c r="C17" s="2">
        <v>942029.6</v>
      </c>
      <c r="D17" s="2">
        <v>1126774.7</v>
      </c>
      <c r="E17" s="2">
        <v>1227680.3</v>
      </c>
      <c r="F17" s="2">
        <v>1133688.2</v>
      </c>
      <c r="G17" s="2">
        <v>1672273.8</v>
      </c>
      <c r="H17" s="2">
        <v>2009286.6</v>
      </c>
      <c r="I17" s="3">
        <v>2229816.5</v>
      </c>
    </row>
    <row r="18" spans="1:9" ht="17" x14ac:dyDescent="0.2">
      <c r="A18" s="8" t="s">
        <v>12</v>
      </c>
      <c r="B18" s="10" t="str">
        <f>VLOOKUP(A18,[1]Отчет!$A:$I,2,FALSE)</f>
        <v>ДВФО</v>
      </c>
      <c r="C18" s="2">
        <v>306596.5</v>
      </c>
      <c r="D18" s="2">
        <v>339838.9</v>
      </c>
      <c r="E18" s="2">
        <v>369476.5</v>
      </c>
      <c r="F18" s="2">
        <v>422734.5</v>
      </c>
      <c r="G18" s="2">
        <v>516630.1</v>
      </c>
      <c r="H18" s="2">
        <v>561679.6</v>
      </c>
      <c r="I18" s="3">
        <v>718358.3</v>
      </c>
    </row>
    <row r="19" spans="1:9" ht="17" x14ac:dyDescent="0.2">
      <c r="A19" s="8" t="s">
        <v>13</v>
      </c>
      <c r="B19" s="10" t="str">
        <f>VLOOKUP(A19,[1]Отчет!$A:$I,2,FALSE)</f>
        <v>ДВФО</v>
      </c>
      <c r="C19" s="2">
        <v>228167.2</v>
      </c>
      <c r="D19" s="2">
        <v>263151.3</v>
      </c>
      <c r="E19" s="2">
        <v>279337.8</v>
      </c>
      <c r="F19" s="2">
        <v>296429.40000000002</v>
      </c>
      <c r="G19" s="2">
        <v>351233.7</v>
      </c>
      <c r="H19" s="2">
        <v>357461.7</v>
      </c>
      <c r="I19" s="3">
        <v>440147.3</v>
      </c>
    </row>
    <row r="20" spans="1:9" ht="17" x14ac:dyDescent="0.2">
      <c r="A20" s="8" t="s">
        <v>14</v>
      </c>
      <c r="B20" s="10" t="str">
        <f>VLOOKUP(A20,[1]Отчет!$A:$I,2,FALSE)</f>
        <v>ДВФО</v>
      </c>
      <c r="C20" s="2">
        <v>906265</v>
      </c>
      <c r="D20" s="2">
        <v>965485.2</v>
      </c>
      <c r="E20" s="2">
        <v>1069330.7</v>
      </c>
      <c r="F20" s="2">
        <v>1105672.6000000001</v>
      </c>
      <c r="G20" s="2">
        <v>1354099.5</v>
      </c>
      <c r="H20" s="2">
        <v>1575745.3</v>
      </c>
      <c r="I20" s="3">
        <v>1862934.3</v>
      </c>
    </row>
    <row r="21" spans="1:9" ht="17" x14ac:dyDescent="0.2">
      <c r="A21" s="8" t="s">
        <v>15</v>
      </c>
      <c r="B21" s="10" t="str">
        <f>VLOOKUP(A21,[1]Отчет!$A:$I,2,FALSE)</f>
        <v>ДВФО</v>
      </c>
      <c r="C21" s="2">
        <v>697951</v>
      </c>
      <c r="D21" s="2">
        <v>761589.2</v>
      </c>
      <c r="E21" s="2">
        <v>805215.6</v>
      </c>
      <c r="F21" s="2">
        <v>856904.8</v>
      </c>
      <c r="G21" s="2">
        <v>1017795.1</v>
      </c>
      <c r="H21" s="2">
        <v>1065100.8</v>
      </c>
      <c r="I21" s="3">
        <v>1262368.1000000001</v>
      </c>
    </row>
    <row r="22" spans="1:9" ht="17" x14ac:dyDescent="0.2">
      <c r="A22" s="8" t="s">
        <v>16</v>
      </c>
      <c r="B22" s="10" t="str">
        <f>VLOOKUP(A22,[1]Отчет!$A:$I,2,FALSE)</f>
        <v>ДВФО</v>
      </c>
      <c r="C22" s="2">
        <v>299181</v>
      </c>
      <c r="D22" s="2">
        <v>334164.40000000002</v>
      </c>
      <c r="E22" s="2">
        <v>395617.2</v>
      </c>
      <c r="F22" s="2">
        <v>449317.5</v>
      </c>
      <c r="G22" s="2">
        <v>548269.80000000005</v>
      </c>
      <c r="H22" s="2">
        <v>603562.5</v>
      </c>
      <c r="I22" s="3">
        <v>793851.9</v>
      </c>
    </row>
    <row r="23" spans="1:9" ht="17" x14ac:dyDescent="0.2">
      <c r="A23" s="8" t="s">
        <v>17</v>
      </c>
      <c r="B23" s="10" t="str">
        <f>VLOOKUP(A23,[1]Отчет!$A:$I,2,FALSE)</f>
        <v>ДВФО</v>
      </c>
      <c r="C23" s="2">
        <v>161851.20000000001</v>
      </c>
      <c r="D23" s="2">
        <v>176370.6</v>
      </c>
      <c r="E23" s="2">
        <v>214414.9</v>
      </c>
      <c r="F23" s="2">
        <v>285146</v>
      </c>
      <c r="G23" s="2">
        <v>320159.59999999998</v>
      </c>
      <c r="H23" s="2">
        <v>315361.09999999998</v>
      </c>
      <c r="I23" s="3">
        <v>403892.80000000005</v>
      </c>
    </row>
    <row r="24" spans="1:9" ht="17" x14ac:dyDescent="0.2">
      <c r="A24" s="8" t="s">
        <v>18</v>
      </c>
      <c r="B24" s="10" t="str">
        <f>VLOOKUP(A24,[1]Отчет!$A:$I,2,FALSE)</f>
        <v>ДВФО</v>
      </c>
      <c r="C24" s="2">
        <v>784503.4</v>
      </c>
      <c r="D24" s="2">
        <v>1233164.7</v>
      </c>
      <c r="E24" s="2">
        <v>1172226.1000000001</v>
      </c>
      <c r="F24" s="2">
        <v>1001689.4</v>
      </c>
      <c r="G24" s="2">
        <v>1237949.8</v>
      </c>
      <c r="H24" s="2">
        <v>1672496.2</v>
      </c>
      <c r="I24" s="3">
        <v>1624560.7</v>
      </c>
    </row>
    <row r="25" spans="1:9" ht="17" x14ac:dyDescent="0.2">
      <c r="A25" s="8" t="s">
        <v>19</v>
      </c>
      <c r="B25" s="10" t="str">
        <f>VLOOKUP(A25,[1]Отчет!$A:$I,2,FALSE)</f>
        <v>ДВФО</v>
      </c>
      <c r="C25" s="4">
        <v>72873.8</v>
      </c>
      <c r="D25" s="4">
        <v>83422.600000000006</v>
      </c>
      <c r="E25" s="4">
        <v>94995</v>
      </c>
      <c r="F25" s="4">
        <v>119949.4</v>
      </c>
      <c r="G25" s="4">
        <v>140026.29999999999</v>
      </c>
      <c r="H25" s="4">
        <v>145059.79999999999</v>
      </c>
      <c r="I25" s="9">
        <v>186709.4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валентина мазуркевич</dc:creator>
  <cp:lastModifiedBy>валентина мазуркевич</cp:lastModifiedBy>
  <dcterms:created xsi:type="dcterms:W3CDTF">2025-11-15T15:15:34Z</dcterms:created>
  <dcterms:modified xsi:type="dcterms:W3CDTF">2025-11-15T15:27:29Z</dcterms:modified>
</cp:coreProperties>
</file>